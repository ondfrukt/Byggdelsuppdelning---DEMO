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O:\Verksamhetsutveckling\Projekteringsanvisningar - K00037\Projekteringsanvisningar\Projekteringsanvisningar revideringar\PA Release\1. Allmänt\Sverige\2. Granskning\"/>
    </mc:Choice>
  </mc:AlternateContent>
  <xr:revisionPtr revIDLastSave="0" documentId="13_ncr:1_{87D77E61-8FD0-4D04-BF5F-4B844D6975A1}" xr6:coauthVersionLast="47" xr6:coauthVersionMax="47" xr10:uidLastSave="{00000000-0000-0000-0000-000000000000}"/>
  <workbookProtection workbookAlgorithmName="SHA-512" workbookHashValue="WGxcXksmgaz+XbZWwX88kpWtR4jyA6YH5GASg83tfEVt29Ri5Mj+YIYZZ2WvGEDS6FEwm9nJSlPtUrwoIdMVZA==" workbookSaltValue="BaT74f3vOUHbzVsGtDkk9g==" workbookSpinCount="100000" lockStructure="1"/>
  <bookViews>
    <workbookView xWindow="-28920" yWindow="5010" windowWidth="29040" windowHeight="15720" xr2:uid="{00000000-000D-0000-FFFF-FFFF00000000}"/>
  </bookViews>
  <sheets>
    <sheet name="Komplett miljörum" sheetId="1" r:id="rId1"/>
  </sheets>
  <definedNames>
    <definedName name="Print_Area" localSheetId="0">'Komplett miljörum'!$A$1:$K$67</definedName>
    <definedName name="_xlnm.Print_Area" localSheetId="0">'Komplett miljörum'!$A$1:$K$71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K19" i="1" s="1"/>
  <c r="D18" i="1"/>
  <c r="K18" i="1" s="1"/>
  <c r="C30" i="1"/>
  <c r="D29" i="1"/>
  <c r="J29" i="1" s="1"/>
  <c r="D28" i="1"/>
  <c r="K28" i="1" s="1"/>
  <c r="D27" i="1"/>
  <c r="K27" i="1" s="1"/>
  <c r="D26" i="1"/>
  <c r="J26" i="1" s="1"/>
  <c r="D25" i="1"/>
  <c r="J25" i="1" s="1"/>
  <c r="D24" i="1"/>
  <c r="K24" i="1" s="1"/>
  <c r="D23" i="1"/>
  <c r="K23" i="1" s="1"/>
  <c r="D22" i="1"/>
  <c r="J22" i="1" s="1"/>
  <c r="D21" i="1"/>
  <c r="J21" i="1" s="1"/>
  <c r="D20" i="1"/>
  <c r="K20" i="1" s="1"/>
  <c r="K25" i="1" l="1"/>
  <c r="J28" i="1"/>
  <c r="J19" i="1"/>
  <c r="J24" i="1"/>
  <c r="J23" i="1"/>
  <c r="J20" i="1"/>
  <c r="J27" i="1"/>
  <c r="J18" i="1"/>
  <c r="K29" i="1"/>
  <c r="K22" i="1"/>
  <c r="K21" i="1"/>
  <c r="K26" i="1"/>
  <c r="D30" i="1"/>
</calcChain>
</file>

<file path=xl/sharedStrings.xml><?xml version="1.0" encoding="utf-8"?>
<sst xmlns="http://schemas.openxmlformats.org/spreadsheetml/2006/main" count="54" uniqueCount="31">
  <si>
    <t>Avfallsfraktion</t>
  </si>
  <si>
    <t>Liter per vecka och lägenhet, cirka</t>
  </si>
  <si>
    <t>Matavfall</t>
  </si>
  <si>
    <t>Returpapper (tidningar m.m.)</t>
  </si>
  <si>
    <t>Plastförpackningar</t>
  </si>
  <si>
    <t>Metallförpackningar</t>
  </si>
  <si>
    <t>Färgade glasförpackningar</t>
  </si>
  <si>
    <t>Ofärgade glasförpackningar</t>
  </si>
  <si>
    <t xml:space="preserve">Liter/vecka </t>
  </si>
  <si>
    <t>Ange antal lägenheter per miljörum:</t>
  </si>
  <si>
    <t>Pappersförpackningar inkl. wellpapp</t>
  </si>
  <si>
    <t>Vakant (för tillkommande fraktion)</t>
  </si>
  <si>
    <t>Exempel på hämtningsavgift vid valt intervall (kr/år)</t>
  </si>
  <si>
    <t>Grundinformation</t>
  </si>
  <si>
    <t>Projektnamn</t>
  </si>
  <si>
    <t>Projektnummer</t>
  </si>
  <si>
    <t>Rekommenderad kärlstorlek
(liter)</t>
  </si>
  <si>
    <t>Sida 1 av 1</t>
  </si>
  <si>
    <t>Antal kärl
(st.)</t>
  </si>
  <si>
    <t>Rekommenderad kärlstorlek och principskiss</t>
  </si>
  <si>
    <t>Dimensionering av miljörum</t>
  </si>
  <si>
    <t>Rekommenderat hämtningsintervall
(ggr/vecka)</t>
  </si>
  <si>
    <t>Valt hämtningsintervall</t>
  </si>
  <si>
    <t>Väljs i projektet</t>
  </si>
  <si>
    <t>Ljuskällor</t>
  </si>
  <si>
    <t>Batterier</t>
  </si>
  <si>
    <t>Mindre elektronik</t>
  </si>
  <si>
    <t>Vald kärlstorlek
(liter)</t>
  </si>
  <si>
    <t>Restavfall</t>
  </si>
  <si>
    <r>
      <rPr>
        <b/>
        <sz val="16"/>
        <color rgb="FF000000"/>
        <rFont val="Arial"/>
        <family val="2"/>
      </rPr>
      <t>Instruktioner</t>
    </r>
    <r>
      <rPr>
        <sz val="16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Om projektet har:
- Sopsug eller kassuner - Fyll i 0 vid "Matavfall" och "Restavfall".
- Avfallskvarn - Fyll i 0 vid "Matavfall".
</t>
    </r>
  </si>
  <si>
    <t>DS-0000896, 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</si>
</sst>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color theme="0" tint="-0.499984740745262"/>
      <name val="Arial"/>
      <family val="2"/>
    </font>
    <font>
      <sz val="26"/>
      <color theme="1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D09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1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vertical="center" wrapText="1"/>
    </xf>
    <xf numFmtId="0" fontId="1" fillId="0" borderId="0" xfId="0" applyFont="1"/>
    <xf numFmtId="1" fontId="1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right"/>
    </xf>
    <xf numFmtId="14" fontId="8" fillId="0" borderId="0" xfId="0" applyNumberFormat="1" applyFont="1"/>
    <xf numFmtId="0" fontId="7" fillId="0" borderId="0" xfId="0" applyFont="1" applyAlignment="1">
      <alignment horizontal="right"/>
    </xf>
    <xf numFmtId="0" fontId="1" fillId="0" borderId="10" xfId="0" applyFont="1" applyBorder="1"/>
    <xf numFmtId="0" fontId="7" fillId="0" borderId="0" xfId="0" applyFont="1"/>
    <xf numFmtId="0" fontId="1" fillId="0" borderId="0" xfId="0" applyFont="1" applyAlignment="1">
      <alignment wrapText="1"/>
    </xf>
    <xf numFmtId="0" fontId="1" fillId="2" borderId="6" xfId="0" applyFont="1" applyFill="1" applyBorder="1"/>
    <xf numFmtId="1" fontId="1" fillId="2" borderId="11" xfId="0" applyNumberFormat="1" applyFont="1" applyFill="1" applyBorder="1"/>
    <xf numFmtId="0" fontId="1" fillId="2" borderId="11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1" fontId="1" fillId="2" borderId="0" xfId="0" applyNumberFormat="1" applyFont="1" applyFill="1"/>
    <xf numFmtId="0" fontId="4" fillId="2" borderId="4" xfId="0" applyFont="1" applyFill="1" applyBorder="1" applyAlignment="1">
      <alignment vertical="center" wrapText="1"/>
    </xf>
    <xf numFmtId="1" fontId="4" fillId="2" borderId="12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/>
    <xf numFmtId="1" fontId="1" fillId="2" borderId="10" xfId="0" applyNumberFormat="1" applyFont="1" applyFill="1" applyBorder="1"/>
    <xf numFmtId="0" fontId="1" fillId="2" borderId="9" xfId="0" applyFont="1" applyFill="1" applyBorder="1"/>
    <xf numFmtId="0" fontId="1" fillId="2" borderId="3" xfId="0" applyFont="1" applyFill="1" applyBorder="1"/>
    <xf numFmtId="1" fontId="3" fillId="0" borderId="12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/>
    </xf>
    <xf numFmtId="0" fontId="5" fillId="2" borderId="4" xfId="0" applyFont="1" applyFill="1" applyBorder="1"/>
    <xf numFmtId="0" fontId="2" fillId="2" borderId="4" xfId="0" applyFont="1" applyFill="1" applyBorder="1"/>
    <xf numFmtId="1" fontId="4" fillId="2" borderId="4" xfId="0" applyNumberFormat="1" applyFont="1" applyFill="1" applyBorder="1" applyAlignment="1">
      <alignment horizontal="center" vertical="center" wrapText="1"/>
    </xf>
    <xf numFmtId="1" fontId="4" fillId="2" borderId="13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>
      <alignment vertical="center" wrapText="1"/>
    </xf>
    <xf numFmtId="1" fontId="2" fillId="2" borderId="16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1" fontId="4" fillId="2" borderId="16" xfId="0" applyNumberFormat="1" applyFont="1" applyFill="1" applyBorder="1" applyAlignment="1">
      <alignment horizontal="center" vertical="center" wrapText="1"/>
    </xf>
    <xf numFmtId="1" fontId="2" fillId="2" borderId="20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2" borderId="1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1" fontId="4" fillId="2" borderId="4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D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mp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228094</xdr:colOff>
      <xdr:row>41</xdr:row>
      <xdr:rowOff>64476</xdr:rowOff>
    </xdr:from>
    <xdr:to>
      <xdr:col>2</xdr:col>
      <xdr:colOff>2353475</xdr:colOff>
      <xdr:row>65</xdr:row>
      <xdr:rowOff>29734</xdr:rowOff>
    </xdr:to>
    <xdr:pic>
      <xdr:nvPicPr>
        <xdr:cNvPr id="6" name="Bildobjekt 5" descr="Skärmurklip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45" r="2469"/>
        <a:stretch/>
      </xdr:blipFill>
      <xdr:spPr>
        <a:xfrm>
          <a:off x="590044" y="7836876"/>
          <a:ext cx="5014631" cy="4073707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10888</xdr:colOff>
      <xdr:row>0</xdr:row>
      <xdr:rowOff>141515</xdr:rowOff>
    </xdr:from>
    <xdr:to>
      <xdr:col>1</xdr:col>
      <xdr:colOff>696686</xdr:colOff>
      <xdr:row>4</xdr:row>
      <xdr:rowOff>201308</xdr:rowOff>
    </xdr:to>
    <xdr:pic>
      <xdr:nvPicPr>
        <xdr:cNvPr id="10" name="Bildobjek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17" y="141515"/>
          <a:ext cx="685798" cy="1038520"/>
        </a:xfrm>
        <a:prstGeom prst="rect">
          <a:avLst/>
        </a:prstGeom>
      </xdr:spPr>
    </xdr:pic>
    <xdr:clientData/>
  </xdr:twoCellAnchor>
  <xdr:twoCellAnchor editAs="oneCell">
    <xdr:from>
      <xdr:col>5</xdr:col>
      <xdr:colOff>1501023</xdr:colOff>
      <xdr:row>32</xdr:row>
      <xdr:rowOff>182655</xdr:rowOff>
    </xdr:from>
    <xdr:to>
      <xdr:col>9</xdr:col>
      <xdr:colOff>425819</xdr:colOff>
      <xdr:row>70</xdr:row>
      <xdr:rowOff>96506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7711F3AB-019F-14C9-BA28-415CA6A5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0641" y="7152714"/>
          <a:ext cx="4852707" cy="6738233"/>
        </a:xfrm>
        <a:prstGeom prst="rect">
          <a:avLst/>
        </a:prstGeom>
      </xdr:spPr>
    </xdr:pic>
    <xdr:clientData/>
  </xdr:twoCellAnchor>
  <xdr:twoCellAnchor editAs="oneCell">
    <xdr:from>
      <xdr:col>3</xdr:col>
      <xdr:colOff>341779</xdr:colOff>
      <xdr:row>32</xdr:row>
      <xdr:rowOff>176093</xdr:rowOff>
    </xdr:from>
    <xdr:to>
      <xdr:col>5</xdr:col>
      <xdr:colOff>902575</xdr:colOff>
      <xdr:row>70</xdr:row>
      <xdr:rowOff>87695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EF43CF77-7D6E-E697-2A28-050DBCE2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985" y="7146152"/>
          <a:ext cx="4780558" cy="6735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76"/>
  <sheetViews>
    <sheetView showGridLines="0" tabSelected="1" view="pageBreakPreview" topLeftCell="A5" zoomScale="70" zoomScaleNormal="70" zoomScaleSheetLayoutView="70" zoomScalePageLayoutView="25" workbookViewId="0">
      <selection activeCell="H2" sqref="H2:K2"/>
    </sheetView>
  </sheetViews>
  <sheetFormatPr defaultColWidth="8.85546875" defaultRowHeight="14.25" x14ac:dyDescent="0.2"/>
  <cols>
    <col min="1" max="1" width="5.28515625" style="4" customWidth="1"/>
    <col min="2" max="2" width="42.28515625" style="4" customWidth="1"/>
    <col min="3" max="3" width="38.28515625" style="5" bestFit="1" customWidth="1"/>
    <col min="4" max="4" width="38.28515625" style="4" bestFit="1" customWidth="1"/>
    <col min="5" max="6" width="24.85546875" style="4" customWidth="1"/>
    <col min="7" max="7" width="20.5703125" style="4" customWidth="1"/>
    <col min="8" max="8" width="24.85546875" style="4" customWidth="1"/>
    <col min="9" max="9" width="18.5703125" style="4" customWidth="1"/>
    <col min="10" max="10" width="8.28515625" style="4" customWidth="1"/>
    <col min="11" max="11" width="9.85546875" style="4" customWidth="1"/>
    <col min="12" max="12" width="23.28515625" style="4" customWidth="1"/>
    <col min="13" max="13" width="15.5703125" style="4" customWidth="1"/>
    <col min="14" max="14" width="14.28515625" style="4" customWidth="1"/>
    <col min="15" max="15" width="12.5703125" style="4" customWidth="1"/>
    <col min="16" max="16" width="17.85546875" style="4" customWidth="1"/>
    <col min="17" max="16384" width="8.85546875" style="4"/>
  </cols>
  <sheetData>
    <row r="2" spans="1:11" ht="17.25" customHeight="1" x14ac:dyDescent="0.25">
      <c r="G2" s="6"/>
      <c r="H2" s="90" t="s">
        <v>30</v>
      </c>
      <c r="I2" s="90"/>
      <c r="J2" s="90"/>
      <c r="K2" s="90"/>
    </row>
    <row r="3" spans="1:11" ht="13.9" customHeight="1" x14ac:dyDescent="0.25">
      <c r="G3" s="6"/>
      <c r="H3" s="6"/>
      <c r="J3" s="8"/>
    </row>
    <row r="4" spans="1:11" ht="33" x14ac:dyDescent="0.45">
      <c r="J4" s="9" t="s">
        <v>20</v>
      </c>
    </row>
    <row r="5" spans="1:11" ht="18" x14ac:dyDescent="0.25">
      <c r="J5" s="7" t="s">
        <v>17</v>
      </c>
    </row>
    <row r="6" spans="1:11" ht="14.45" customHeight="1" thickBot="1" x14ac:dyDescent="0.5">
      <c r="B6" s="10"/>
      <c r="E6" s="11"/>
      <c r="F6" s="11"/>
      <c r="G6" s="11"/>
      <c r="H6" s="11"/>
      <c r="I6" s="11"/>
      <c r="J6" s="11"/>
      <c r="K6" s="12"/>
    </row>
    <row r="7" spans="1:11" ht="14.45" customHeight="1" x14ac:dyDescent="0.2">
      <c r="A7" s="13"/>
      <c r="B7" s="72" t="s">
        <v>13</v>
      </c>
      <c r="C7" s="14"/>
      <c r="D7" s="15"/>
      <c r="E7" s="15"/>
      <c r="F7" s="15"/>
      <c r="G7" s="15"/>
      <c r="H7" s="15"/>
      <c r="I7" s="15"/>
      <c r="J7" s="15"/>
      <c r="K7" s="16"/>
    </row>
    <row r="8" spans="1:11" ht="13.9" customHeight="1" thickBot="1" x14ac:dyDescent="0.25">
      <c r="A8" s="17"/>
      <c r="B8" s="73"/>
      <c r="C8" s="3"/>
      <c r="D8" s="3"/>
      <c r="E8" s="3"/>
      <c r="F8" s="3"/>
      <c r="G8" s="3"/>
      <c r="H8" s="3"/>
      <c r="I8" s="3"/>
      <c r="J8" s="18"/>
      <c r="K8" s="19"/>
    </row>
    <row r="9" spans="1:11" ht="13.9" customHeight="1" x14ac:dyDescent="0.2">
      <c r="A9" s="17"/>
      <c r="B9" s="3"/>
      <c r="C9" s="3"/>
      <c r="D9" s="3"/>
      <c r="E9" s="80" t="s">
        <v>29</v>
      </c>
      <c r="F9" s="81"/>
      <c r="G9" s="81"/>
      <c r="H9" s="82"/>
      <c r="I9" s="18"/>
      <c r="J9" s="18"/>
      <c r="K9" s="19"/>
    </row>
    <row r="10" spans="1:11" ht="13.9" customHeight="1" x14ac:dyDescent="0.25">
      <c r="A10" s="17"/>
      <c r="B10" s="44" t="s">
        <v>14</v>
      </c>
      <c r="C10" s="34"/>
      <c r="D10" s="2"/>
      <c r="E10" s="83"/>
      <c r="F10" s="84"/>
      <c r="G10" s="84"/>
      <c r="H10" s="85"/>
      <c r="I10" s="18"/>
      <c r="J10" s="18"/>
      <c r="K10" s="19"/>
    </row>
    <row r="11" spans="1:11" ht="13.9" customHeight="1" x14ac:dyDescent="0.2">
      <c r="A11" s="17"/>
      <c r="B11" s="1"/>
      <c r="C11" s="2"/>
      <c r="D11" s="2"/>
      <c r="E11" s="83"/>
      <c r="F11" s="84"/>
      <c r="G11" s="84"/>
      <c r="H11" s="85"/>
      <c r="I11" s="18"/>
      <c r="J11" s="18"/>
      <c r="K11" s="19"/>
    </row>
    <row r="12" spans="1:11" ht="13.9" customHeight="1" x14ac:dyDescent="0.25">
      <c r="A12" s="17"/>
      <c r="B12" s="44" t="s">
        <v>15</v>
      </c>
      <c r="C12" s="34"/>
      <c r="D12" s="2"/>
      <c r="E12" s="83"/>
      <c r="F12" s="84"/>
      <c r="G12" s="84"/>
      <c r="H12" s="85"/>
      <c r="I12" s="18"/>
      <c r="J12" s="18"/>
      <c r="K12" s="19"/>
    </row>
    <row r="13" spans="1:11" ht="13.9" customHeight="1" x14ac:dyDescent="0.2">
      <c r="A13" s="17"/>
      <c r="B13" s="18"/>
      <c r="C13" s="20"/>
      <c r="D13" s="18"/>
      <c r="E13" s="83"/>
      <c r="F13" s="84"/>
      <c r="G13" s="84"/>
      <c r="H13" s="85"/>
      <c r="I13" s="18"/>
      <c r="J13" s="18"/>
      <c r="K13" s="19"/>
    </row>
    <row r="14" spans="1:11" ht="13.9" customHeight="1" thickBot="1" x14ac:dyDescent="0.3">
      <c r="A14" s="17"/>
      <c r="B14" s="45" t="s">
        <v>9</v>
      </c>
      <c r="C14" s="34"/>
      <c r="D14" s="18"/>
      <c r="E14" s="86"/>
      <c r="F14" s="87"/>
      <c r="G14" s="87"/>
      <c r="H14" s="88"/>
      <c r="I14" s="18"/>
      <c r="J14" s="18"/>
      <c r="K14" s="19"/>
    </row>
    <row r="15" spans="1:11" ht="13.9" customHeight="1" x14ac:dyDescent="0.2">
      <c r="A15" s="17"/>
      <c r="B15" s="18"/>
      <c r="C15" s="20"/>
      <c r="D15" s="18"/>
      <c r="E15" s="18"/>
      <c r="F15" s="18"/>
      <c r="G15" s="18"/>
      <c r="H15" s="18"/>
      <c r="I15" s="18"/>
      <c r="J15" s="18"/>
      <c r="K15" s="19"/>
    </row>
    <row r="16" spans="1:11" x14ac:dyDescent="0.2">
      <c r="A16" s="17"/>
      <c r="B16" s="18"/>
      <c r="C16" s="20"/>
      <c r="D16" s="18"/>
      <c r="E16" s="18"/>
      <c r="F16" s="18"/>
      <c r="G16" s="18"/>
      <c r="H16" s="18"/>
      <c r="I16" s="18"/>
      <c r="J16" s="18"/>
      <c r="K16" s="19"/>
    </row>
    <row r="17" spans="1:12" ht="69.599999999999994" customHeight="1" thickBot="1" x14ac:dyDescent="0.25">
      <c r="A17" s="17"/>
      <c r="B17" s="21" t="s">
        <v>0</v>
      </c>
      <c r="C17" s="68" t="s">
        <v>1</v>
      </c>
      <c r="D17" s="47" t="s">
        <v>8</v>
      </c>
      <c r="E17" s="47" t="s">
        <v>21</v>
      </c>
      <c r="F17" s="46" t="s">
        <v>22</v>
      </c>
      <c r="G17" s="22" t="s">
        <v>12</v>
      </c>
      <c r="H17" s="46" t="s">
        <v>16</v>
      </c>
      <c r="I17" s="46" t="s">
        <v>27</v>
      </c>
      <c r="J17" s="89" t="s">
        <v>18</v>
      </c>
      <c r="K17" s="89"/>
      <c r="L17" s="12"/>
    </row>
    <row r="18" spans="1:12" ht="16.5" thickBot="1" x14ac:dyDescent="0.25">
      <c r="A18" s="17"/>
      <c r="B18" s="64" t="s">
        <v>2</v>
      </c>
      <c r="C18" s="70">
        <v>10</v>
      </c>
      <c r="D18" s="49">
        <f>SUM(C18)*C14</f>
        <v>0</v>
      </c>
      <c r="E18" s="48">
        <v>1</v>
      </c>
      <c r="F18" s="63" t="s">
        <v>23</v>
      </c>
      <c r="G18" s="49"/>
      <c r="H18" s="24">
        <v>140</v>
      </c>
      <c r="I18" s="63" t="s">
        <v>23</v>
      </c>
      <c r="J18" s="25" t="str">
        <f t="shared" ref="J18:J24" si="0">IFERROR((_xlfn.CEILING.MATH((D18/I18)/F18)),"-")</f>
        <v>-</v>
      </c>
      <c r="K18" s="26" t="str">
        <f>IFERROR(((D18/I18)/F18),"-")</f>
        <v>-</v>
      </c>
    </row>
    <row r="19" spans="1:12" ht="16.5" thickBot="1" x14ac:dyDescent="0.25">
      <c r="A19" s="17"/>
      <c r="B19" s="65" t="s">
        <v>28</v>
      </c>
      <c r="C19" s="70">
        <v>45</v>
      </c>
      <c r="D19" s="49">
        <f>SUM(C19)*C14</f>
        <v>0</v>
      </c>
      <c r="E19" s="50">
        <v>1</v>
      </c>
      <c r="F19" s="63" t="s">
        <v>23</v>
      </c>
      <c r="G19" s="49"/>
      <c r="H19" s="24">
        <v>660</v>
      </c>
      <c r="I19" s="35" t="s">
        <v>23</v>
      </c>
      <c r="J19" s="25" t="str">
        <f t="shared" si="0"/>
        <v>-</v>
      </c>
      <c r="K19" s="26" t="str">
        <f>IFERROR(((D19/I19)/F19),"-")</f>
        <v>-</v>
      </c>
    </row>
    <row r="20" spans="1:12" ht="16.5" thickBot="1" x14ac:dyDescent="0.25">
      <c r="A20" s="17"/>
      <c r="B20" s="66" t="s">
        <v>3</v>
      </c>
      <c r="C20" s="71">
        <v>5</v>
      </c>
      <c r="D20" s="49">
        <f>SUM(C20)*C14</f>
        <v>0</v>
      </c>
      <c r="E20" s="50">
        <v>1</v>
      </c>
      <c r="F20" s="63" t="s">
        <v>23</v>
      </c>
      <c r="G20" s="49"/>
      <c r="H20" s="24">
        <v>370</v>
      </c>
      <c r="I20" s="63" t="s">
        <v>23</v>
      </c>
      <c r="J20" s="25" t="str">
        <f t="shared" si="0"/>
        <v>-</v>
      </c>
      <c r="K20" s="26" t="str">
        <f t="shared" ref="K20:K29" si="1">IFERROR(((D20/I20)/F20),"-")</f>
        <v>-</v>
      </c>
    </row>
    <row r="21" spans="1:12" ht="16.5" thickBot="1" x14ac:dyDescent="0.25">
      <c r="A21" s="17"/>
      <c r="B21" s="67" t="s">
        <v>10</v>
      </c>
      <c r="C21" s="71">
        <v>45</v>
      </c>
      <c r="D21" s="49">
        <f>SUM(C21)*C14</f>
        <v>0</v>
      </c>
      <c r="E21" s="50">
        <v>1</v>
      </c>
      <c r="F21" s="63" t="s">
        <v>23</v>
      </c>
      <c r="G21" s="49"/>
      <c r="H21" s="24">
        <v>660</v>
      </c>
      <c r="I21" s="35" t="s">
        <v>23</v>
      </c>
      <c r="J21" s="25" t="str">
        <f t="shared" si="0"/>
        <v>-</v>
      </c>
      <c r="K21" s="26" t="str">
        <f t="shared" si="1"/>
        <v>-</v>
      </c>
    </row>
    <row r="22" spans="1:12" ht="16.5" thickBot="1" x14ac:dyDescent="0.25">
      <c r="A22" s="17"/>
      <c r="B22" s="67" t="s">
        <v>4</v>
      </c>
      <c r="C22" s="71">
        <v>25</v>
      </c>
      <c r="D22" s="49">
        <f>SUM(C22)*C14</f>
        <v>0</v>
      </c>
      <c r="E22" s="50">
        <v>1</v>
      </c>
      <c r="F22" s="63" t="s">
        <v>23</v>
      </c>
      <c r="G22" s="49"/>
      <c r="H22" s="24">
        <v>660</v>
      </c>
      <c r="I22" s="35" t="s">
        <v>23</v>
      </c>
      <c r="J22" s="25" t="str">
        <f t="shared" si="0"/>
        <v>-</v>
      </c>
      <c r="K22" s="26" t="str">
        <f t="shared" si="1"/>
        <v>-</v>
      </c>
    </row>
    <row r="23" spans="1:12" ht="15.75" x14ac:dyDescent="0.2">
      <c r="A23" s="17"/>
      <c r="B23" s="27" t="s">
        <v>5</v>
      </c>
      <c r="C23" s="69">
        <v>2</v>
      </c>
      <c r="D23" s="24">
        <f>SUM(C23)*C14</f>
        <v>0</v>
      </c>
      <c r="E23" s="50">
        <v>1</v>
      </c>
      <c r="F23" s="63" t="s">
        <v>23</v>
      </c>
      <c r="G23" s="49"/>
      <c r="H23" s="24">
        <v>190</v>
      </c>
      <c r="I23" s="35" t="s">
        <v>23</v>
      </c>
      <c r="J23" s="25" t="str">
        <f t="shared" si="0"/>
        <v>-</v>
      </c>
      <c r="K23" s="26" t="str">
        <f t="shared" si="1"/>
        <v>-</v>
      </c>
    </row>
    <row r="24" spans="1:12" ht="15.75" x14ac:dyDescent="0.2">
      <c r="A24" s="17"/>
      <c r="B24" s="27" t="s">
        <v>6</v>
      </c>
      <c r="C24" s="23">
        <v>2</v>
      </c>
      <c r="D24" s="24">
        <f>SUM(C24)*C14</f>
        <v>0</v>
      </c>
      <c r="E24" s="50">
        <v>1</v>
      </c>
      <c r="F24" s="63" t="s">
        <v>23</v>
      </c>
      <c r="G24" s="49"/>
      <c r="H24" s="24">
        <v>190</v>
      </c>
      <c r="I24" s="35" t="s">
        <v>23</v>
      </c>
      <c r="J24" s="25" t="str">
        <f t="shared" si="0"/>
        <v>-</v>
      </c>
      <c r="K24" s="26" t="str">
        <f t="shared" si="1"/>
        <v>-</v>
      </c>
    </row>
    <row r="25" spans="1:12" ht="15.75" x14ac:dyDescent="0.2">
      <c r="A25" s="17"/>
      <c r="B25" s="51" t="s">
        <v>7</v>
      </c>
      <c r="C25" s="52">
        <v>2</v>
      </c>
      <c r="D25" s="53">
        <f>SUM(C25)*C14</f>
        <v>0</v>
      </c>
      <c r="E25" s="54">
        <v>1</v>
      </c>
      <c r="F25" s="63" t="s">
        <v>23</v>
      </c>
      <c r="G25" s="55"/>
      <c r="H25" s="53">
        <v>190</v>
      </c>
      <c r="I25" s="35" t="s">
        <v>23</v>
      </c>
      <c r="J25" s="25" t="str">
        <f>IFERROR((_xlfn.CEILING.MATH((D25/I25)/F25)),"-")</f>
        <v>-</v>
      </c>
      <c r="K25" s="26" t="str">
        <f t="shared" si="1"/>
        <v>-</v>
      </c>
    </row>
    <row r="26" spans="1:12" ht="15.75" x14ac:dyDescent="0.2">
      <c r="A26" s="17"/>
      <c r="B26" s="27" t="s">
        <v>24</v>
      </c>
      <c r="C26" s="56">
        <v>0.1</v>
      </c>
      <c r="D26" s="24">
        <f>SUM(C26)*C14</f>
        <v>0</v>
      </c>
      <c r="E26" s="50">
        <v>0.25</v>
      </c>
      <c r="F26" s="63" t="s">
        <v>23</v>
      </c>
      <c r="G26" s="49"/>
      <c r="H26" s="24">
        <v>29</v>
      </c>
      <c r="I26" s="63" t="s">
        <v>23</v>
      </c>
      <c r="J26" s="25" t="str">
        <f t="shared" ref="J26:J28" si="2">IFERROR((_xlfn.CEILING.MATH((D26/I26)/F26)),"-")</f>
        <v>-</v>
      </c>
      <c r="K26" s="26" t="str">
        <f t="shared" si="1"/>
        <v>-</v>
      </c>
    </row>
    <row r="27" spans="1:12" ht="15.75" x14ac:dyDescent="0.2">
      <c r="A27" s="17"/>
      <c r="B27" s="27" t="s">
        <v>25</v>
      </c>
      <c r="C27" s="56">
        <v>7.0000000000000007E-2</v>
      </c>
      <c r="D27" s="57">
        <f>SUM(C27)*C14</f>
        <v>0</v>
      </c>
      <c r="E27" s="50">
        <v>0.25</v>
      </c>
      <c r="F27" s="63" t="s">
        <v>23</v>
      </c>
      <c r="G27" s="49"/>
      <c r="H27" s="24">
        <v>21</v>
      </c>
      <c r="I27" s="35" t="s">
        <v>23</v>
      </c>
      <c r="J27" s="25" t="str">
        <f t="shared" si="2"/>
        <v>-</v>
      </c>
      <c r="K27" s="26" t="str">
        <f t="shared" si="1"/>
        <v>-</v>
      </c>
    </row>
    <row r="28" spans="1:12" ht="15.75" x14ac:dyDescent="0.2">
      <c r="A28" s="17"/>
      <c r="B28" s="27" t="s">
        <v>26</v>
      </c>
      <c r="C28" s="56">
        <v>0.1</v>
      </c>
      <c r="D28" s="24">
        <f>SUM(C28)*C14</f>
        <v>0</v>
      </c>
      <c r="E28" s="50">
        <v>0.25</v>
      </c>
      <c r="F28" s="63" t="s">
        <v>23</v>
      </c>
      <c r="G28" s="49"/>
      <c r="H28" s="24">
        <v>29</v>
      </c>
      <c r="I28" s="35" t="s">
        <v>23</v>
      </c>
      <c r="J28" s="25" t="str">
        <f t="shared" si="2"/>
        <v>-</v>
      </c>
      <c r="K28" s="26" t="str">
        <f t="shared" si="1"/>
        <v>-</v>
      </c>
    </row>
    <row r="29" spans="1:12" ht="16.5" thickBot="1" x14ac:dyDescent="0.25">
      <c r="A29" s="17"/>
      <c r="B29" s="58" t="s">
        <v>11</v>
      </c>
      <c r="C29" s="59">
        <v>1</v>
      </c>
      <c r="D29" s="60">
        <f>SUM(C29)*C14</f>
        <v>0</v>
      </c>
      <c r="E29" s="48">
        <v>1</v>
      </c>
      <c r="F29" s="63" t="s">
        <v>23</v>
      </c>
      <c r="G29" s="61"/>
      <c r="H29" s="60">
        <v>370</v>
      </c>
      <c r="I29" s="63" t="s">
        <v>23</v>
      </c>
      <c r="J29" s="25" t="str">
        <f t="shared" ref="J29" si="3">IFERROR((_xlfn.CEILING.MATH(D29/I29)/F29),"-")</f>
        <v>-</v>
      </c>
      <c r="K29" s="26" t="str">
        <f t="shared" si="1"/>
        <v>-</v>
      </c>
    </row>
    <row r="30" spans="1:12" ht="15.75" thickBot="1" x14ac:dyDescent="0.25">
      <c r="A30" s="17"/>
      <c r="B30" s="18"/>
      <c r="C30" s="28">
        <f>SUM(C18:C29)</f>
        <v>137.26999999999998</v>
      </c>
      <c r="D30" s="62">
        <f>SUM(D18:D29)</f>
        <v>0</v>
      </c>
      <c r="E30" s="29"/>
      <c r="F30" s="29"/>
      <c r="G30" s="29"/>
      <c r="H30" s="18"/>
      <c r="I30" s="18"/>
      <c r="J30" s="18"/>
      <c r="K30" s="18"/>
    </row>
    <row r="31" spans="1:12" ht="15" thickBot="1" x14ac:dyDescent="0.25">
      <c r="A31" s="17"/>
      <c r="B31" s="30"/>
      <c r="C31" s="31"/>
      <c r="D31" s="30"/>
      <c r="E31" s="30"/>
      <c r="F31" s="30"/>
      <c r="G31" s="30"/>
      <c r="H31" s="30"/>
      <c r="I31" s="30"/>
      <c r="J31" s="30"/>
      <c r="K31" s="30"/>
    </row>
    <row r="32" spans="1:12" x14ac:dyDescent="0.2">
      <c r="A32" s="18"/>
      <c r="B32" s="18"/>
      <c r="C32" s="20"/>
      <c r="D32" s="18"/>
      <c r="E32" s="18"/>
      <c r="F32" s="18"/>
      <c r="G32" s="18"/>
      <c r="H32" s="18"/>
      <c r="I32" s="18"/>
      <c r="J32" s="18"/>
      <c r="K32" s="19"/>
    </row>
    <row r="33" spans="1:11" ht="15" thickBot="1" x14ac:dyDescent="0.25">
      <c r="A33" s="17"/>
      <c r="B33" s="18"/>
      <c r="C33" s="20"/>
      <c r="D33" s="18"/>
      <c r="E33" s="18"/>
      <c r="F33" s="18"/>
      <c r="G33" s="18"/>
      <c r="H33" s="18"/>
      <c r="I33" s="18"/>
      <c r="J33" s="18"/>
      <c r="K33" s="19"/>
    </row>
    <row r="34" spans="1:11" ht="13.9" customHeight="1" x14ac:dyDescent="0.2">
      <c r="A34" s="17"/>
      <c r="B34" s="74" t="s">
        <v>19</v>
      </c>
      <c r="C34" s="75"/>
      <c r="D34" s="18"/>
      <c r="E34" s="18"/>
      <c r="F34" s="18"/>
      <c r="G34" s="18"/>
      <c r="H34" s="18"/>
      <c r="I34" s="18"/>
      <c r="J34" s="18"/>
      <c r="K34" s="19"/>
    </row>
    <row r="35" spans="1:11" ht="13.9" customHeight="1" x14ac:dyDescent="0.2">
      <c r="A35" s="17"/>
      <c r="B35" s="76"/>
      <c r="C35" s="77"/>
      <c r="D35" s="18"/>
      <c r="E35" s="18"/>
      <c r="F35" s="18"/>
      <c r="G35" s="18"/>
      <c r="H35" s="18"/>
      <c r="I35" s="18"/>
      <c r="J35" s="18"/>
      <c r="K35" s="19"/>
    </row>
    <row r="36" spans="1:11" ht="13.9" customHeight="1" thickBot="1" x14ac:dyDescent="0.25">
      <c r="A36" s="17"/>
      <c r="B36" s="78"/>
      <c r="C36" s="79"/>
      <c r="D36" s="18"/>
      <c r="E36" s="18"/>
      <c r="F36" s="18"/>
      <c r="G36" s="18"/>
      <c r="H36" s="18"/>
      <c r="I36" s="18"/>
      <c r="J36" s="18"/>
      <c r="K36" s="19"/>
    </row>
    <row r="37" spans="1:11" x14ac:dyDescent="0.2">
      <c r="A37" s="17"/>
      <c r="B37" s="18"/>
      <c r="C37" s="20"/>
      <c r="D37" s="18"/>
      <c r="E37" s="18"/>
      <c r="F37" s="18"/>
      <c r="G37" s="18"/>
      <c r="H37" s="18"/>
      <c r="I37" s="18"/>
      <c r="J37" s="18"/>
      <c r="K37" s="19"/>
    </row>
    <row r="38" spans="1:11" x14ac:dyDescent="0.2">
      <c r="A38" s="17"/>
      <c r="B38" s="18"/>
      <c r="C38" s="20"/>
      <c r="D38" s="18"/>
      <c r="E38" s="18"/>
      <c r="F38" s="18"/>
      <c r="G38" s="18"/>
      <c r="H38" s="18"/>
      <c r="I38" s="18"/>
      <c r="J38" s="18"/>
      <c r="K38" s="19"/>
    </row>
    <row r="39" spans="1:11" x14ac:dyDescent="0.2">
      <c r="A39" s="17"/>
      <c r="B39" s="18"/>
      <c r="C39" s="20"/>
      <c r="D39" s="18"/>
      <c r="E39" s="18"/>
      <c r="F39" s="18"/>
      <c r="G39" s="18"/>
      <c r="H39" s="18"/>
      <c r="I39" s="18"/>
      <c r="J39" s="18"/>
      <c r="K39" s="19"/>
    </row>
    <row r="40" spans="1:11" x14ac:dyDescent="0.2">
      <c r="A40" s="17"/>
      <c r="B40" s="18"/>
      <c r="C40" s="20"/>
      <c r="D40" s="18"/>
      <c r="E40" s="18"/>
      <c r="F40" s="18"/>
      <c r="G40" s="18"/>
      <c r="H40" s="18"/>
      <c r="I40" s="18"/>
      <c r="J40" s="18"/>
      <c r="K40" s="19"/>
    </row>
    <row r="41" spans="1:11" x14ac:dyDescent="0.2">
      <c r="A41" s="17"/>
      <c r="B41" s="18"/>
      <c r="C41" s="20"/>
      <c r="D41" s="18"/>
      <c r="E41" s="18"/>
      <c r="F41" s="18"/>
      <c r="G41" s="18"/>
      <c r="H41" s="18"/>
      <c r="I41" s="18"/>
      <c r="J41" s="18"/>
      <c r="K41" s="19"/>
    </row>
    <row r="42" spans="1:11" x14ac:dyDescent="0.2">
      <c r="A42" s="17"/>
      <c r="B42" s="18"/>
      <c r="C42" s="20"/>
      <c r="D42" s="18"/>
      <c r="E42" s="18"/>
      <c r="F42" s="18"/>
      <c r="G42" s="18"/>
      <c r="H42" s="18"/>
      <c r="I42" s="18"/>
      <c r="J42" s="18"/>
      <c r="K42" s="19"/>
    </row>
    <row r="43" spans="1:11" x14ac:dyDescent="0.2">
      <c r="A43" s="17"/>
      <c r="B43" s="18"/>
      <c r="C43" s="20"/>
      <c r="D43" s="18"/>
      <c r="E43" s="18"/>
      <c r="F43" s="18"/>
      <c r="G43" s="18"/>
      <c r="H43" s="18"/>
      <c r="I43" s="18"/>
      <c r="J43" s="18"/>
      <c r="K43" s="19"/>
    </row>
    <row r="44" spans="1:11" x14ac:dyDescent="0.2">
      <c r="A44" s="17"/>
      <c r="B44" s="18"/>
      <c r="C44" s="20"/>
      <c r="D44" s="18"/>
      <c r="E44" s="18"/>
      <c r="F44" s="18"/>
      <c r="G44" s="18"/>
      <c r="H44" s="18"/>
      <c r="I44" s="18"/>
      <c r="J44" s="18"/>
      <c r="K44" s="19"/>
    </row>
    <row r="45" spans="1:11" x14ac:dyDescent="0.2">
      <c r="A45" s="17"/>
      <c r="B45" s="18"/>
      <c r="C45" s="20"/>
      <c r="D45" s="18"/>
      <c r="E45" s="18"/>
      <c r="F45" s="18"/>
      <c r="G45" s="18"/>
      <c r="H45" s="18"/>
      <c r="I45" s="18"/>
      <c r="J45" s="18"/>
      <c r="K45" s="19"/>
    </row>
    <row r="46" spans="1:11" x14ac:dyDescent="0.2">
      <c r="A46" s="17"/>
      <c r="B46" s="18"/>
      <c r="C46" s="20"/>
      <c r="D46" s="18"/>
      <c r="E46" s="18"/>
      <c r="F46" s="18"/>
      <c r="G46" s="18"/>
      <c r="H46" s="18"/>
      <c r="I46" s="18"/>
      <c r="J46" s="18"/>
      <c r="K46" s="19"/>
    </row>
    <row r="47" spans="1:11" x14ac:dyDescent="0.2">
      <c r="A47" s="17"/>
      <c r="B47" s="18"/>
      <c r="C47" s="20"/>
      <c r="D47" s="18"/>
      <c r="E47" s="18"/>
      <c r="F47" s="18"/>
      <c r="G47" s="18"/>
      <c r="H47" s="18"/>
      <c r="I47" s="18"/>
      <c r="J47" s="18"/>
      <c r="K47" s="19"/>
    </row>
    <row r="48" spans="1:11" x14ac:dyDescent="0.2">
      <c r="A48" s="17"/>
      <c r="B48" s="18"/>
      <c r="C48" s="20"/>
      <c r="D48" s="18"/>
      <c r="E48" s="18"/>
      <c r="F48" s="18"/>
      <c r="G48" s="18"/>
      <c r="H48" s="18"/>
      <c r="I48" s="18"/>
      <c r="J48" s="18"/>
      <c r="K48" s="19"/>
    </row>
    <row r="49" spans="1:11" x14ac:dyDescent="0.2">
      <c r="A49" s="17"/>
      <c r="B49" s="18"/>
      <c r="C49" s="20"/>
      <c r="D49" s="18"/>
      <c r="E49" s="18"/>
      <c r="F49" s="18"/>
      <c r="G49" s="18"/>
      <c r="H49" s="18"/>
      <c r="I49" s="18"/>
      <c r="J49" s="18"/>
      <c r="K49" s="19"/>
    </row>
    <row r="50" spans="1:11" x14ac:dyDescent="0.2">
      <c r="A50" s="17"/>
      <c r="B50" s="18"/>
      <c r="C50" s="20"/>
      <c r="D50" s="18"/>
      <c r="E50" s="18"/>
      <c r="F50" s="18"/>
      <c r="G50" s="18"/>
      <c r="H50" s="18"/>
      <c r="I50" s="18"/>
      <c r="J50" s="18"/>
      <c r="K50" s="19"/>
    </row>
    <row r="51" spans="1:11" x14ac:dyDescent="0.2">
      <c r="A51" s="17"/>
      <c r="B51" s="18"/>
      <c r="C51" s="20"/>
      <c r="D51" s="18"/>
      <c r="E51" s="18"/>
      <c r="F51" s="18"/>
      <c r="G51" s="18"/>
      <c r="H51" s="18"/>
      <c r="I51" s="18"/>
      <c r="J51" s="18"/>
      <c r="K51" s="19"/>
    </row>
    <row r="52" spans="1:11" x14ac:dyDescent="0.2">
      <c r="A52" s="17"/>
      <c r="B52" s="18"/>
      <c r="C52" s="20"/>
      <c r="D52" s="18"/>
      <c r="E52" s="18"/>
      <c r="F52" s="18"/>
      <c r="G52" s="18"/>
      <c r="H52" s="18"/>
      <c r="I52" s="18"/>
      <c r="J52" s="18"/>
      <c r="K52" s="19"/>
    </row>
    <row r="53" spans="1:11" x14ac:dyDescent="0.2">
      <c r="A53" s="17"/>
      <c r="B53" s="18"/>
      <c r="C53" s="20"/>
      <c r="D53" s="18"/>
      <c r="E53" s="18"/>
      <c r="F53" s="18"/>
      <c r="G53" s="18"/>
      <c r="H53" s="18"/>
      <c r="I53" s="18"/>
      <c r="J53" s="18"/>
      <c r="K53" s="19"/>
    </row>
    <row r="54" spans="1:11" x14ac:dyDescent="0.2">
      <c r="A54" s="17"/>
      <c r="B54" s="18"/>
      <c r="C54" s="20"/>
      <c r="D54" s="18"/>
      <c r="E54" s="18"/>
      <c r="F54" s="18"/>
      <c r="G54" s="18"/>
      <c r="H54" s="18"/>
      <c r="I54" s="18"/>
      <c r="J54" s="18"/>
      <c r="K54" s="19"/>
    </row>
    <row r="55" spans="1:11" x14ac:dyDescent="0.2">
      <c r="A55" s="17"/>
      <c r="B55" s="18"/>
      <c r="C55" s="20"/>
      <c r="D55" s="18"/>
      <c r="E55" s="18"/>
      <c r="F55" s="18"/>
      <c r="G55" s="18"/>
      <c r="H55" s="18"/>
      <c r="I55" s="18"/>
      <c r="J55" s="18"/>
      <c r="K55" s="19"/>
    </row>
    <row r="56" spans="1:11" x14ac:dyDescent="0.2">
      <c r="A56" s="17"/>
      <c r="B56" s="18"/>
      <c r="C56" s="20"/>
      <c r="D56" s="18"/>
      <c r="E56" s="18"/>
      <c r="F56" s="18"/>
      <c r="G56" s="18"/>
      <c r="H56" s="18"/>
      <c r="I56" s="18"/>
      <c r="J56" s="18"/>
      <c r="K56" s="19"/>
    </row>
    <row r="57" spans="1:11" x14ac:dyDescent="0.2">
      <c r="A57" s="17"/>
      <c r="B57" s="18"/>
      <c r="C57" s="20"/>
      <c r="D57" s="18"/>
      <c r="E57" s="18"/>
      <c r="F57" s="18"/>
      <c r="G57" s="18"/>
      <c r="H57" s="18"/>
      <c r="I57" s="18"/>
      <c r="J57" s="18"/>
      <c r="K57" s="19"/>
    </row>
    <row r="58" spans="1:11" x14ac:dyDescent="0.2">
      <c r="A58" s="17"/>
      <c r="B58" s="18"/>
      <c r="C58" s="20"/>
      <c r="D58" s="18"/>
      <c r="E58" s="18"/>
      <c r="F58" s="18"/>
      <c r="G58" s="18"/>
      <c r="H58" s="18"/>
      <c r="I58" s="18"/>
      <c r="J58" s="18"/>
      <c r="K58" s="19"/>
    </row>
    <row r="59" spans="1:11" x14ac:dyDescent="0.2">
      <c r="A59" s="17"/>
      <c r="B59" s="18"/>
      <c r="C59" s="20"/>
      <c r="D59" s="18"/>
      <c r="E59" s="18"/>
      <c r="F59" s="18"/>
      <c r="G59" s="18"/>
      <c r="H59" s="18"/>
      <c r="I59" s="18"/>
      <c r="J59" s="18"/>
      <c r="K59" s="19"/>
    </row>
    <row r="60" spans="1:11" x14ac:dyDescent="0.2">
      <c r="A60" s="17"/>
      <c r="B60" s="18"/>
      <c r="C60" s="20"/>
      <c r="D60" s="18"/>
      <c r="E60" s="18"/>
      <c r="F60" s="18"/>
      <c r="G60" s="18"/>
      <c r="H60" s="18"/>
      <c r="I60" s="18"/>
      <c r="J60" s="18"/>
      <c r="K60" s="19"/>
    </row>
    <row r="61" spans="1:11" x14ac:dyDescent="0.2">
      <c r="A61" s="17"/>
      <c r="B61" s="18"/>
      <c r="C61" s="20"/>
      <c r="D61" s="18"/>
      <c r="E61" s="18"/>
      <c r="F61" s="18"/>
      <c r="G61" s="18"/>
      <c r="H61" s="18"/>
      <c r="I61" s="18"/>
      <c r="J61" s="18"/>
      <c r="K61" s="19"/>
    </row>
    <row r="62" spans="1:11" x14ac:dyDescent="0.2">
      <c r="A62" s="17"/>
      <c r="B62" s="18"/>
      <c r="C62" s="20"/>
      <c r="D62" s="18"/>
      <c r="E62" s="18"/>
      <c r="F62" s="18"/>
      <c r="G62" s="18"/>
      <c r="H62" s="18"/>
      <c r="I62" s="18"/>
      <c r="J62" s="18"/>
      <c r="K62" s="19"/>
    </row>
    <row r="63" spans="1:11" x14ac:dyDescent="0.2">
      <c r="A63" s="17"/>
      <c r="B63" s="18"/>
      <c r="C63" s="20"/>
      <c r="D63" s="18"/>
      <c r="E63" s="18"/>
      <c r="F63" s="18"/>
      <c r="G63" s="18"/>
      <c r="H63" s="18"/>
      <c r="I63" s="18"/>
      <c r="J63" s="18"/>
      <c r="K63" s="19"/>
    </row>
    <row r="64" spans="1:11" x14ac:dyDescent="0.2">
      <c r="A64" s="17"/>
      <c r="B64" s="18"/>
      <c r="C64" s="20"/>
      <c r="D64" s="18"/>
      <c r="E64" s="18"/>
      <c r="F64" s="18"/>
      <c r="G64" s="18"/>
      <c r="H64" s="18"/>
      <c r="I64" s="18"/>
      <c r="J64" s="18"/>
      <c r="K64" s="19"/>
    </row>
    <row r="65" spans="1:11" x14ac:dyDescent="0.2">
      <c r="A65" s="17"/>
      <c r="B65" s="18"/>
      <c r="C65" s="20"/>
      <c r="D65" s="18"/>
      <c r="E65" s="18"/>
      <c r="F65" s="18"/>
      <c r="G65" s="18"/>
      <c r="H65" s="18"/>
      <c r="I65" s="18"/>
      <c r="J65" s="18"/>
      <c r="K65" s="19"/>
    </row>
    <row r="66" spans="1:11" x14ac:dyDescent="0.2">
      <c r="A66" s="17"/>
      <c r="B66" s="18"/>
      <c r="C66" s="20"/>
      <c r="D66" s="18"/>
      <c r="E66" s="18"/>
      <c r="F66" s="18"/>
      <c r="G66" s="18"/>
      <c r="H66" s="18"/>
      <c r="I66" s="18"/>
      <c r="J66" s="18"/>
      <c r="K66" s="19"/>
    </row>
    <row r="67" spans="1:11" x14ac:dyDescent="0.2">
      <c r="A67" s="17"/>
      <c r="B67" s="18"/>
      <c r="C67" s="20"/>
      <c r="D67" s="18"/>
      <c r="E67" s="18"/>
      <c r="F67" s="18"/>
      <c r="G67" s="18"/>
      <c r="H67" s="18"/>
      <c r="I67" s="18"/>
      <c r="J67" s="18"/>
      <c r="K67" s="19"/>
    </row>
    <row r="68" spans="1:11" ht="15" x14ac:dyDescent="0.2">
      <c r="A68" s="17"/>
      <c r="B68" s="38"/>
      <c r="C68" s="20"/>
      <c r="D68" s="18"/>
      <c r="E68" s="18"/>
      <c r="F68" s="18"/>
      <c r="G68" s="18"/>
      <c r="H68" s="18"/>
      <c r="I68" s="18"/>
      <c r="J68" s="18"/>
      <c r="K68" s="19"/>
    </row>
    <row r="69" spans="1:11" ht="15" x14ac:dyDescent="0.2">
      <c r="A69" s="17"/>
      <c r="B69" s="38"/>
      <c r="C69" s="20"/>
      <c r="D69" s="39"/>
      <c r="E69" s="18"/>
      <c r="F69" s="18"/>
      <c r="G69" s="18"/>
      <c r="H69" s="18"/>
      <c r="I69" s="18"/>
      <c r="J69" s="18"/>
      <c r="K69" s="19"/>
    </row>
    <row r="70" spans="1:11" ht="15" x14ac:dyDescent="0.2">
      <c r="A70" s="17"/>
      <c r="B70" s="40"/>
      <c r="C70" s="41"/>
      <c r="D70" s="41"/>
      <c r="E70" s="18"/>
      <c r="F70" s="18"/>
      <c r="G70" s="18"/>
      <c r="H70" s="18"/>
      <c r="I70" s="18"/>
      <c r="J70" s="18"/>
      <c r="K70" s="19"/>
    </row>
    <row r="71" spans="1:11" ht="15.75" thickBot="1" x14ac:dyDescent="0.25">
      <c r="A71" s="32"/>
      <c r="B71" s="42"/>
      <c r="C71" s="43"/>
      <c r="D71" s="43"/>
      <c r="E71" s="30"/>
      <c r="F71" s="30"/>
      <c r="G71" s="30"/>
      <c r="H71" s="30"/>
      <c r="I71" s="30"/>
      <c r="J71" s="30"/>
      <c r="K71" s="33"/>
    </row>
    <row r="72" spans="1:11" ht="15" x14ac:dyDescent="0.2">
      <c r="B72" s="36"/>
      <c r="C72" s="37"/>
      <c r="D72" s="37"/>
    </row>
    <row r="73" spans="1:11" ht="15" x14ac:dyDescent="0.2">
      <c r="B73" s="36"/>
      <c r="C73" s="37"/>
      <c r="D73" s="37"/>
    </row>
    <row r="74" spans="1:11" ht="15" x14ac:dyDescent="0.2">
      <c r="B74" s="36"/>
      <c r="C74" s="37"/>
      <c r="D74" s="37"/>
    </row>
    <row r="75" spans="1:11" ht="15" x14ac:dyDescent="0.2">
      <c r="B75" s="36"/>
      <c r="C75" s="37"/>
      <c r="D75" s="37"/>
    </row>
    <row r="76" spans="1:11" ht="15" x14ac:dyDescent="0.2">
      <c r="B76" s="36"/>
      <c r="C76" s="37"/>
      <c r="D76" s="37"/>
    </row>
  </sheetData>
  <sheetProtection selectLockedCells="1"/>
  <mergeCells count="5">
    <mergeCell ref="B7:B8"/>
    <mergeCell ref="B34:C36"/>
    <mergeCell ref="E9:H14"/>
    <mergeCell ref="J17:K17"/>
    <mergeCell ref="H2:K2"/>
  </mergeCells>
  <pageMargins left="0.70866141732283472" right="0.70866141732283472" top="0.19685039370078741" bottom="0.19685039370078741" header="0.31496062992125984" footer="0.31496062992125984"/>
  <pageSetup paperSize="9" scale="5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A96333CC78B48A79C33419C59ACA4" ma:contentTypeVersion="11" ma:contentTypeDescription="Create a new document." ma:contentTypeScope="" ma:versionID="6302202cc43de2896af2c41d874dba81">
  <xsd:schema xmlns:xsd="http://www.w3.org/2001/XMLSchema" xmlns:xs="http://www.w3.org/2001/XMLSchema" xmlns:p="http://schemas.microsoft.com/office/2006/metadata/properties" xmlns:ns3="2755756b-4026-4420-9851-62429944b6c8" xmlns:ns4="f04c55ea-eb36-4056-b765-6e74e4c86126" targetNamespace="http://schemas.microsoft.com/office/2006/metadata/properties" ma:root="true" ma:fieldsID="2f39afe99d006cc213c970d7a8f6aac0" ns3:_="" ns4:_="">
    <xsd:import namespace="2755756b-4026-4420-9851-62429944b6c8"/>
    <xsd:import namespace="f04c55ea-eb36-4056-b765-6e74e4c861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756b-4026-4420-9851-62429944b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c55ea-eb36-4056-b765-6e74e4c8612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89051-FAAF-433F-A764-495C4F131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55756b-4026-4420-9851-62429944b6c8"/>
    <ds:schemaRef ds:uri="f04c55ea-eb36-4056-b765-6e74e4c86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367231-A563-4F1F-9D37-7E7D5696D172}">
  <ds:schemaRefs>
    <ds:schemaRef ds:uri="http://purl.org/dc/elements/1.1/"/>
    <ds:schemaRef ds:uri="http://schemas.microsoft.com/office/2006/metadata/properties"/>
    <ds:schemaRef ds:uri="f04c55ea-eb36-4056-b765-6e74e4c86126"/>
    <ds:schemaRef ds:uri="2755756b-4026-4420-9851-62429944b6c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66C19D-2B95-44BB-A847-ABEAB481D7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2</vt:i4>
      </vt:variant>
    </vt:vector>
  </HeadingPairs>
  <TitlesOfParts>
    <vt:vector size="3" baseType="lpstr">
      <vt:lpstr>Komplett miljörum</vt:lpstr>
      <vt:lpstr>'Komplett miljörum'!Print_Area</vt:lpstr>
      <vt:lpstr>'Komplett miljörum'!Utskriftsområde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Hancock</dc:creator>
  <cp:lastModifiedBy>Freddie Coldenberg</cp:lastModifiedBy>
  <cp:lastPrinted>2016-11-22T08:42:46Z</cp:lastPrinted>
  <dcterms:created xsi:type="dcterms:W3CDTF">2015-06-23T06:35:15Z</dcterms:created>
  <dcterms:modified xsi:type="dcterms:W3CDTF">2025-11-07T09:06:50Z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0x010100F5DA96333CC78B48A79C33419C59ACA4</vt:lpwstr>
  </property>
</Properties>
</file>